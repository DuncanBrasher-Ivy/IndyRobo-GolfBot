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rts_List" sheetId="1" state="visible" r:id="rId3"/>
    <sheet name="Design_Choices" sheetId="2" state="visible" r:id="rId4"/>
    <sheet name="System_No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<sst xmlns="http://schemas.openxmlformats.org/spreadsheetml/2006/main" count="112" uniqueCount="111">
  <si>
    <t xml:space="preserve">Golf Bot Parts List</t>
  </si>
  <si>
    <t xml:space="preserve">Name</t>
  </si>
  <si>
    <t xml:space="preserve">Price</t>
  </si>
  <si>
    <t xml:space="preserve">Quantity</t>
  </si>
  <si>
    <t xml:space="preserve">Purpose</t>
  </si>
  <si>
    <t xml:space="preserve">Notes</t>
  </si>
  <si>
    <t xml:space="preserve">Link</t>
  </si>
  <si>
    <t xml:space="preserve">Extended Cost</t>
  </si>
  <si>
    <t xml:space="preserve">eleUniverse 5V 5A Dual PD Power Supply Module with Cooling Fan | 9-24V to 5V Step Down Power Converter Expansion Board for Raspberry Pi 5</t>
  </si>
  <si>
    <t xml:space="preserve">Provide stable 5V power for Raspberry Pi 5; can also power ESP32/light 5V electronics</t>
  </si>
  <si>
    <t xml:space="preserve">Better Pi power option than LM2596 modules. Keep Pi on this rail, not motors.</t>
  </si>
  <si>
    <t xml:space="preserve">https://www.amazon.com/gp/product/B0FR8VRWFJ/ref=ox_sc_act_title_1?smid=AJR9PS1P25UVO&amp;psc=1</t>
  </si>
  <si>
    <t xml:space="preserve">Teyleten Robot TCS34725 TCS-34725 Sensor Recognition Module RGB Sensor for Arduino (3pcs)</t>
  </si>
  <si>
    <t xml:space="preserve">Color sensing for red/white/blue ball identification inside intake/sorting path</t>
  </si>
  <si>
    <t xml:space="preserve">Best used in a close, controlled chute with fixed lighting. Pack includes 3 sensors.</t>
  </si>
  <si>
    <t xml:space="preserve">Amazon search: Teyleten Robot TCS34725 Sensor Recognition Module RGB Sensor 3pcs</t>
  </si>
  <si>
    <t xml:space="preserve">Teyleten Robot TB6612FNG Dual DC Stepper Motor Driver Module (Pack of 3)</t>
  </si>
  <si>
    <t xml:space="preserve">Drive small DC motors from control signals</t>
  </si>
  <si>
    <t xml:space="preserve">Cheap option. Fine for lighter loads, but may be borderline if drivetrain stalls hard or robot gets heavy.</t>
  </si>
  <si>
    <t xml:space="preserve">Amazon search: Teyleten Robot TB6612FNG Dual DC Stepper Motor Driver Module Pack of 3</t>
  </si>
  <si>
    <t xml:space="preserve">Slamtec RPLIDAR A1M8 2D 360 Degree 12 Meters Scanning Radius LIDAR Sensor</t>
  </si>
  <si>
    <t xml:space="preserve">Top-mounted 360° scanning for navigation, wall detection, and general field awareness</t>
  </si>
  <si>
    <t xml:space="preserve">Replaces multiple fixed distance sensors. Better for mapping/navigation, but does not identify color.</t>
  </si>
  <si>
    <t xml:space="preserve">Amazon search: Slamtec RPLIDAR A1M8 2D 360 Degree 12 Meters</t>
  </si>
  <si>
    <t xml:space="preserve">Greartisan DC 12V 1000RPM Gear Motor</t>
  </si>
  <si>
    <t xml:space="preserve">Mechanism motors for intake, conveyor, roller, or other pickup system</t>
  </si>
  <si>
    <t xml:space="preserve">Better fit for mechanism use than main drive. Fast motor.</t>
  </si>
  <si>
    <t xml:space="preserve">https://www.amazon.com/dp/B07GNDG2NC</t>
  </si>
  <si>
    <t xml:space="preserve">TUOFENG 22 AWG Wire Solid Core Hookup Wire, 6 Colors</t>
  </si>
  <si>
    <t xml:space="preserve">General wiring</t>
  </si>
  <si>
    <t xml:space="preserve">Usable for prototyping, but not ideal for a moving robot. Stranded wire would be better.</t>
  </si>
  <si>
    <t xml:space="preserve">Amazon search: TUOFENG 22 AWG Wire Solid Core Hookup Wire 6 Colors</t>
  </si>
  <si>
    <t xml:space="preserve">Dorhea 5 Pcs SG90 Micro Servo Motor Kit</t>
  </si>
  <si>
    <t xml:space="preserve">Small position-control actuators for flaps, gates, and sorting mechanisms</t>
  </si>
  <si>
    <t xml:space="preserve">Good for light mechanisms only; not for heavy lifting.</t>
  </si>
  <si>
    <t xml:space="preserve">Amazon search: Dorhea 5 Pcs SG90 Micro Servo Motor Kit</t>
  </si>
  <si>
    <t xml:space="preserve">Mspalocell 12V 3000mAh Rechargeable Li-ion Battery with Charger</t>
  </si>
  <si>
    <t xml:space="preserve">Main 12V onboard battery</t>
  </si>
  <si>
    <t xml:space="preserve">Likely enough for a short ~6 minute run, but current delivery and voltage sag still need testing.</t>
  </si>
  <si>
    <t xml:space="preserve">Amazon search: Mspalocell 12V 3000mAh Rechargeable Li-ion Battery</t>
  </si>
  <si>
    <t xml:space="preserve">Micro Limit Switch CYT1073 Long Hinge Lever (30 Pack)</t>
  </si>
  <si>
    <t xml:space="preserve">Detect home positions, end stops, and contact events on mechanisms</t>
  </si>
  <si>
    <t xml:space="preserve">Useful for homing and reliability. Pack includes extras.</t>
  </si>
  <si>
    <t xml:space="preserve">Amazon search: Micro Limit Switch CYT1073 Long Hinge Lever 30 Pack</t>
  </si>
  <si>
    <t xml:space="preserve">Vilros Raspberry Pi 5 AI Kit (4GB RAM-26 TOPS)</t>
  </si>
  <si>
    <t xml:space="preserve">computing for vision/AI and advanced planning</t>
  </si>
  <si>
    <t xml:space="preserve">Powerful but expensive. May be optional if the design relies on LiDAR + color sensor instead of camera AI.</t>
  </si>
  <si>
    <t xml:space="preserve">https://www.amazon.com/gp/product/B0DT4W1S32/ref=ox_sc_act_title_1?smid=AHALS71WJO58T&amp;th=1</t>
  </si>
  <si>
    <t xml:space="preserve">YEJMKJ ESP32 S3 Development Board ESP32-S3-DevKitC-1-N8R8</t>
  </si>
  <si>
    <t xml:space="preserve"> controller for motors, encoders, servos, switches, and sensor I/O</t>
  </si>
  <si>
    <t xml:space="preserve">Recommended even with the Pi. Good for deterministic control tasks.</t>
  </si>
  <si>
    <t xml:space="preserve">Amazon search: YEJMKJ ESP32 S3 Development Board ESP32-S3-DevKitC-1-N8R8</t>
  </si>
  <si>
    <t xml:space="preserve">BEMONOC Encoder Metal Gearmotor 12V DC 600RPM</t>
  </si>
  <si>
    <t xml:space="preserve">Main drivetrain motors with encoder feedback</t>
  </si>
  <si>
    <t xml:space="preserve">Better choice than non-encoder motors for controlled driving and speed.</t>
  </si>
  <si>
    <t xml:space="preserve">Amazon search: BEMONOC Encoder Metal Gearmotor 12V 600RPM</t>
  </si>
  <si>
    <t xml:space="preserve">Total</t>
  </si>
  <si>
    <t xml:space="preserve">* this total is not based on unit costs, final total should be 600 or below </t>
  </si>
  <si>
    <t xml:space="preserve">Budget Cap</t>
  </si>
  <si>
    <t xml:space="preserve">Items like wires,servo,drivers, and and color sensors are part of packs that will</t>
  </si>
  <si>
    <t xml:space="preserve">Over / Under Budget</t>
  </si>
  <si>
    <t xml:space="preserve">not be fully utilized. In additon if we leave out the camera on the pi we will</t>
  </si>
  <si>
    <t xml:space="preserve">be well under the budget.*</t>
  </si>
  <si>
    <t xml:space="preserve">NOTES</t>
  </si>
  <si>
    <t xml:space="preserve">Design Options Discussed</t>
  </si>
  <si>
    <t xml:space="preserve">Design Choice</t>
  </si>
  <si>
    <t xml:space="preserve">Pros</t>
  </si>
  <si>
    <t xml:space="preserve">Cons</t>
  </si>
  <si>
    <t xml:space="preserve">Recommended Use</t>
  </si>
  <si>
    <t xml:space="preserve">LiDAR + Color Sensor</t>
  </si>
  <si>
    <t xml:space="preserve">Simpler sensing stack, cheaper than full camera AI, better reliability, easier debugging, color handled in a controlled chute, LiDAR handles navigation/walls well.</t>
  </si>
  <si>
    <t xml:space="preserve">No camera-based recognition, less flexible for complex object detection, still needs good mechanism design.</t>
  </si>
  <si>
    <t xml:space="preserve">Best first version for a competition-ready bot.</t>
  </si>
  <si>
    <t xml:space="preserve">Camera + LiDAR</t>
  </si>
  <si>
    <t xml:space="preserve">Most capable perception stack, can potentially identify balls and environment visually, strong future expansion path.</t>
  </si>
  <si>
    <t xml:space="preserve">Expensive, more software complexity, more power draw, more debugging risk, easier to overbuild.</t>
  </si>
  <si>
    <t xml:space="preserve">Only worth it if you truly need onboard vision/AI and have time to integrate it well.</t>
  </si>
  <si>
    <t xml:space="preserve">4 Fixed Distance Sensors (TF-Luna style) + Color Sensor</t>
  </si>
  <si>
    <t xml:space="preserve">Simple concept, direct wall distance readings, cheaper than some LiDAR setups.</t>
  </si>
  <si>
    <t xml:space="preserve">Only sees a few directions, weak mapping awareness compared to 360° LiDAR, more limited navigation picture.</t>
  </si>
  <si>
    <t xml:space="preserve">Acceptable fallback if top-mounted LiDAR is dropped.</t>
  </si>
  <si>
    <t xml:space="preserve">LiDAR Only</t>
  </si>
  <si>
    <t xml:space="preserve">Good navigation and wall awareness, clean top-mounted sensing setup.</t>
  </si>
  <si>
    <t xml:space="preserve">Cannot identify ball color by itself, so it does not solve sorting requirement alone.</t>
  </si>
  <si>
    <t xml:space="preserve">Not enough by itself for final scoring bot.</t>
  </si>
  <si>
    <t xml:space="preserve">Camera Only</t>
  </si>
  <si>
    <t xml:space="preserve">Could detect balls/colors visually in theory.</t>
  </si>
  <si>
    <t xml:space="preserve">Harder navigation, more lighting sensitivity, more compute burden, worse wall-distance awareness than LiDAR.</t>
  </si>
  <si>
    <t xml:space="preserve">Not recommended as the only sensing system.</t>
  </si>
  <si>
    <t xml:space="preserve">Pi 5 + ESP32</t>
  </si>
  <si>
    <t xml:space="preserve">Pi handles heavy logic; ESP32 handles real-time control. Good separation of jobs.</t>
  </si>
  <si>
    <t xml:space="preserve">More parts and integration work than a single-controller build.</t>
  </si>
  <si>
    <t xml:space="preserve">Best if you keep the Pi in the design.</t>
  </si>
  <si>
    <t xml:space="preserve">ESP32 Only</t>
  </si>
  <si>
    <t xml:space="preserve">Cheaper, lower power, simpler wiring and software stack.</t>
  </si>
  <si>
    <t xml:space="preserve">Less headroom for advanced AI/vision and more complex perception tasks.</t>
  </si>
  <si>
    <t xml:space="preserve">Good if final design avoids heavy camera AI.</t>
  </si>
  <si>
    <t xml:space="preserve">Current Direction Summary</t>
  </si>
  <si>
    <t xml:space="preserve">Topic</t>
  </si>
  <si>
    <t xml:space="preserve">Best first-version design</t>
  </si>
  <si>
    <t xml:space="preserve">Top-mounted LiDAR + color sensor + ESP32 control. Add Pi only if camera/AI is truly needed.</t>
  </si>
  <si>
    <t xml:space="preserve">Why LiDAR</t>
  </si>
  <si>
    <t xml:space="preserve">360° field awareness is stronger than a few fixed sensors for navigation and wall spacing.</t>
  </si>
  <si>
    <t xml:space="preserve">Why color sensor</t>
  </si>
  <si>
    <t xml:space="preserve">Sorting requires color identification. LiDAR cannot identify color.</t>
  </si>
  <si>
    <t xml:space="preserve">Why ESP32</t>
  </si>
  <si>
    <t xml:space="preserve">Better for real-time motor, encoder, servo, and switch control than relying only on a Pi.</t>
  </si>
  <si>
    <t xml:space="preserve">Why Pi may be optional</t>
  </si>
  <si>
    <t xml:space="preserve">If the bot avoids camera AI, the Pi may not be required for a workable competition robot.</t>
  </si>
  <si>
    <t xml:space="preserve">Power note</t>
  </si>
  <si>
    <t xml:space="preserve">Use the eleUniverse 5V 5A module for Pi/ESP32/light electronics. Keep motors on the 12V rail through the motor driver.</t>
  </si>
</sst>
</file>

<file path=xl/styles.xml><?xml version="1.0" encoding="utf-8"?>
<styleSheet xmlns="http://schemas.openxmlformats.org/spreadsheetml/2006/main">
  <numFmts count="2">
    <numFmt numFmtId="164" formatCode="General"/>
    <numFmt numFmtId="165" formatCode="\$#,##0.00"/>
  </numFmts>
  <fonts count="11">
    <font>
      <sz val="11"/>
      <color theme="1"/>
      <name val="Calibri"/>
      <family val="2"/>
      <charset val="1"/>
    </font>
    <font>
      <sz val="10"/>
      <name val="Arial"/>
      <family val="0"/>
    </font>
    <font>
      <sz val="10"/>
      <name val="Arial"/>
      <family val="0"/>
    </font>
    <font>
      <sz val="10"/>
      <name val="Arial"/>
      <family val="0"/>
    </font>
    <font>
      <b val="true"/>
      <sz val="14"/>
      <name val="Calibri"/>
      <family val="0"/>
      <charset val="1"/>
    </font>
    <font>
      <b val="true"/>
      <sz val="11"/>
      <color rgb="FFFFFFFF"/>
      <name val="Calibri"/>
      <family val="0"/>
      <charset val="1"/>
    </font>
    <font>
      <u val="single"/>
      <sz val="11"/>
      <color theme="10"/>
      <name val="Calibri"/>
      <family val="2"/>
      <charset val="1"/>
    </font>
    <font>
      <b val="true"/>
      <sz val="11"/>
      <name val="Calibri"/>
      <family val="0"/>
      <charset val="1"/>
    </font>
    <font>
      <sz val="11"/>
      <name val="Calibri"/>
      <family val="0"/>
      <charset val="1"/>
    </font>
    <font>
      <b val="true"/>
      <u val="single"/>
      <sz val="11"/>
      <color theme="1"/>
      <name val="Calibri"/>
      <family val="2"/>
      <charset val="1"/>
    </font>
    <font>
      <sz val="11"/>
      <color rgb="FF000000"/>
      <name val="Calibri"/>
      <family val="0"/>
    </font>
  </fonts>
  <fills count="4">
    <fill>
      <patternFill patternType="none"/>
    </fill>
    <fill>
      <patternFill patternType="gray125"/>
    </fill>
    <fill>
      <patternFill patternType="solid">
        <fgColor rgb="FF1F4E78"/>
        <bgColor rgb="FF003366"/>
      </patternFill>
    </fill>
    <fill>
      <patternFill patternType="solid">
        <fgColor rgb="FFFCE4D6"/>
        <bgColor rgb="FFFFFFFF"/>
      </patternFill>
    </fill>
  </fills>
  <borders count="2">
    <border diagonalUp="false" diagonalDown="false">
      <left/>
      <right/>
      <top/>
      <bottom/>
      <diagonal/>
    </border>
    <border diagonalUp="false" diagonalDown="false">
      <left/>
      <right/>
      <top/>
      <bottom style="thin">
        <color rgb="FFD0D0D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4" fontId="6" fillId="0" borderId="1" xfId="2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20</xdr:row>
      <xdr:rowOff>7200</xdr:rowOff>
    </xdr:from>
    <xdr:to>
      <xdr:col>9</xdr:col>
      <xdr:colOff>322200</xdr:colOff>
      <xdr:row>50</xdr:row>
      <xdr:rowOff>138600</xdr:rowOff>
    </xdr:to>
    <xdr:sp>
      <xdr:nvSpPr>
        <xdr:cNvPr id="1" name="Text Box 1"/>
        <xdr:cNvSpPr/>
      </xdr:nvSpPr>
      <xdr:spPr>
        <a:xfrm>
          <a:off x="0" y="7073640"/>
          <a:ext cx="19088280" cy="5846400"/>
        </a:xfrm>
        <a:prstGeom prst="rect">
          <a:avLst/>
        </a:prstGeom>
        <a:solidFill>
          <a:srgbClr val="FFFFFF"/>
        </a:solidFill>
        <a:ln w="9525">
          <a:solidFill>
            <a:srgbClr val="000000"/>
          </a:solidFill>
          <a:miter/>
        </a:ln>
      </xdr:spPr>
      <xdr:style>
        <a:lnRef idx="0"/>
        <a:fillRef idx="0"/>
        <a:effectRef idx="0"/>
        <a:fontRef idx="minor"/>
      </xdr:style>
      <xdr:txBody>
        <a:bodyPr vertOverflow="clip" lIns="36720" tIns="32040" rIns="0" bIns="0" anchor="t" upright="1">
          <a:noAutofit/>
        </a:bodyPr>
        <a:p>
          <a:pPr>
            <a:lnSpc>
              <a:spcPct val="100000"/>
            </a:lnSpc>
          </a:pPr>
          <a:r>
            <a:rPr lang="en-US" sz="1100" b="0" u="none" strike="noStrike">
              <a:solidFill>
                <a:srgbClr val="000000"/>
              </a:solidFill>
              <a:effectLst/>
              <a:uFillTx/>
              <a:latin typeface="Calibri"/>
              <a:ea typeface="Calibri"/>
            </a:rPr>
            <a:t>The two most promising design choices are as follows.</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US" sz="1100" b="0" u="none" strike="noStrike">
              <a:solidFill>
                <a:srgbClr val="000000"/>
              </a:solidFill>
              <a:effectLst/>
              <a:uFillTx/>
              <a:latin typeface="Calibri"/>
              <a:ea typeface="Calibri"/>
            </a:rPr>
            <a:t>The first option is to use only the Raspberry Pi, color sensor, and LiDAR. This removes the need for a camera and reduces overall complexity. In this design, the LiDAR and color sensor would effectively act as the robot’s “eyes,” while the limit switches would provide extra positional feedback for decision-making. This is the simpler and more practical design because it reduces the number of subsystems that could fail, lowers software complexity, and should still provide enough input for the robot to navigate, detect golf balls, and sort them correctly.</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US" sz="1100" b="0" u="none" strike="noStrike">
              <a:solidFill>
                <a:srgbClr val="000000"/>
              </a:solidFill>
              <a:effectLst/>
              <a:uFillTx/>
              <a:latin typeface="Calibri"/>
              <a:ea typeface="Calibri"/>
            </a:rPr>
            <a:t>The second option is to use all of the current sensors together. This would add more complexity, but it could also give the robot more information about its surroundings. In this setup, the LiDAR would be used mainly for mapping and navigation, while the Raspberry Pi would handle additional inputs such as color sensing and visual input from a camera. This would create a more advanced sensing system, but it would also require more processing, more software work, and more debugging.</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US" sz="1100" b="0" u="none" strike="noStrike">
              <a:solidFill>
                <a:srgbClr val="000000"/>
              </a:solidFill>
              <a:effectLst/>
              <a:uFillTx/>
              <a:latin typeface="Calibri"/>
              <a:ea typeface="Calibri"/>
            </a:rPr>
            <a:t>Another important design choice is whether the ESP32 should remain in the system. It may be possible to leave it out, since the Raspberry Pi has GPIO pins and can directly interface with many sensors and components. However, if the Raspberry Pi becomes too busy handling LiDAR data, AI tasks, or other program logic, the ESP32 could still be useful. In that case, the ESP32 would take care of the lower-level hardware work, such as motor control, sensor reading, and other repetitive tasks, then send that information back to the Pi. This would let the Pi focus more on decision-making while the ESP32 handles the “dirty work.”</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US" sz="1100" b="0" u="none" strike="noStrike">
              <a:solidFill>
                <a:srgbClr val="000000"/>
              </a:solidFill>
              <a:effectLst/>
              <a:uFillTx/>
              <a:latin typeface="Calibri"/>
              <a:ea typeface="Calibri"/>
            </a:rPr>
            <a:t>For cost savings, some parts can be omitted from the purchase list because they can be made in-house. The treads can be 3D printed, and the robot chassis can also be 3D printed, so those items do not necessarily need to count as purchased components.</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US" sz="1100" b="0" u="none" strike="noStrike">
              <a:solidFill>
                <a:srgbClr val="000000"/>
              </a:solidFill>
              <a:effectLst/>
              <a:uFillTx/>
              <a:latin typeface="Calibri"/>
              <a:ea typeface="Calibri"/>
            </a:rPr>
            <a:t>We also considered using IR sensors on the four sides of the robot to judge distance, similar to the way carpentry or leveling tools measure spacing. After more research, LiDAR appears to be the better choice. LiDAR data is generally easier to process, and many IR sensors have practical limitations. Their range is often limited, and their return signals can vary depending on the material they hit, such as foam golf balls, wood, or turf. A rotating LiDAR is a better option because it provides a continuous 2D scan of the surroundings, which can then be combined with the other sensors to build a fuller picture of the field.</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US" sz="1100" b="0" u="none" strike="noStrike">
              <a:solidFill>
                <a:srgbClr val="000000"/>
              </a:solidFill>
              <a:effectLst/>
              <a:uFillTx/>
              <a:latin typeface="Calibri"/>
              <a:ea typeface="Calibri"/>
            </a:rPr>
            <a:t>Battery choice was another important point in the design discussion. Since the robot only needs to run for about 6 minutes, the main issue is not total capacity as much as whether the battery can reliably provide enough current without voltage sag. A 12V 3000mAh battery is equal to 3Ah, which means that over a 0.1 hour run it would theoretically support an average draw of:</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US" sz="1100" b="0" u="none" strike="noStrike">
              <a:solidFill>
                <a:srgbClr val="000000"/>
              </a:solidFill>
              <a:effectLst/>
              <a:uFillTx/>
              <a:latin typeface="Calibri"/>
              <a:ea typeface="Calibri"/>
            </a:rPr>
            <a:t>3Ah / 0.1h = 30A</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US" sz="1100" b="0" u="none" strike="noStrike">
              <a:solidFill>
                <a:srgbClr val="000000"/>
              </a:solidFill>
              <a:effectLst/>
              <a:uFillTx/>
              <a:latin typeface="Calibri"/>
              <a:ea typeface="Calibri"/>
            </a:rPr>
            <a:t>This means that, purely in terms of capacity, the battery should be enough for a 6 minute run. The more important concern is whether it can actually deliver the current required during motor startup and while also powering the rest of the system. That is why the battery was considered acceptable for short runtime, but still somewhat risky depending on current spikes and voltage stability.</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US" sz="1100" b="0" u="none" strike="noStrike">
              <a:solidFill>
                <a:srgbClr val="000000"/>
              </a:solidFill>
              <a:effectLst/>
              <a:uFillTx/>
              <a:latin typeface="Calibri"/>
              <a:ea typeface="Calibri"/>
            </a:rPr>
            <a:t>We also noted that the Raspberry Pi and ESP32 could both be powered from a 5V 5A step-down module, as long as that module is only used for the logic and control electronics and not for the motors. The motors should remain on their own direct battery-powered path through a motor driver. This keeps the power system cleaner and reduces the chance of resets or instability in the Pi.</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US" sz="1100" b="0" u="none" strike="noStrike">
              <a:solidFill>
                <a:srgbClr val="000000"/>
              </a:solidFill>
              <a:effectLst/>
              <a:uFillTx/>
              <a:latin typeface="Calibri"/>
              <a:ea typeface="Calibri"/>
            </a:rPr>
            <a:t>Overall, the simpler and more realistic design direction seems to be the LiDAR + color sensor + Raspberry Pi approach, with the ESP32 added only if the Raspberry Pi becomes too busy or if better low-level control is needed. The more advanced camera + LiDAR + color sensing approach is still possible, but it introduces more complexity and may not be necessary for a first competition-ready version.</a:t>
          </a:r>
          <a:endParaRPr lang="en-US" sz="1100" b="0" u="none" strike="noStrik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mazon.com/gp/product/B0FR8VRWFJ/ref=ox_sc_act_title_1?smid=AJR9PS1P25UVO&amp;psc=1" TargetMode="External"/><Relationship Id="rId2" Type="http://schemas.openxmlformats.org/officeDocument/2006/relationships/hyperlink" Target="https://www.amazon.com/gp/product/B087Z3K6P5/ref=ox_sc_act_title_2?smid=A38CU2XC1RY0BO&amp;psc=1" TargetMode="External"/><Relationship Id="rId3" Type="http://schemas.openxmlformats.org/officeDocument/2006/relationships/hyperlink" Target="https://www.amazon.com/gp/product/B08J3S6G2N/ref=ox_sc_act_title_3?smid=A38CU2XC1RY0BO&amp;psc=1" TargetMode="External"/><Relationship Id="rId4" Type="http://schemas.openxmlformats.org/officeDocument/2006/relationships/hyperlink" Target="https://www.amazon.com/gp/product/B07TJW5SXF/ref=ox_sc_act_title_4?smid=A3FZJTJP2FUJVA&amp;psc=1" TargetMode="External"/><Relationship Id="rId5" Type="http://schemas.openxmlformats.org/officeDocument/2006/relationships/hyperlink" Target="https://www.amazon.com/gp/product/B0745YDSJS/ref=ox_sc_act_title_5?smid=A18IHNL4DD28Y&amp;th=1" TargetMode="External"/><Relationship Id="rId6" Type="http://schemas.openxmlformats.org/officeDocument/2006/relationships/hyperlink" Target="https://www.amazon.com/gp/product/B07TX6BX47/ref=ox_sc_act_image_7?smid=A1P2Y1BEUUWGO2&amp;th=1" TargetMode="External"/><Relationship Id="rId7" Type="http://schemas.openxmlformats.org/officeDocument/2006/relationships/hyperlink" Target="https://www.amazon.com/gp/product/B07Q6JGWNV/ref=ox_sc_act_image_8?smid=A3CX4TQNUXMB0L&amp;psc=1" TargetMode="External"/><Relationship Id="rId8" Type="http://schemas.openxmlformats.org/officeDocument/2006/relationships/hyperlink" Target="https://www.amazon.com/gp/product/B0DF7T3LG1/ref=ox_sc_act_image_8?smid=A1K5NHRHXVX6Q7&amp;psc=1" TargetMode="External"/><Relationship Id="rId9" Type="http://schemas.openxmlformats.org/officeDocument/2006/relationships/hyperlink" Target="https://www.amazon.com/gp/product/B088W8WMTB/ref=ox_sc_act_image_10?smid=A3PXX08VVBPF5M&amp;psc=1" TargetMode="External"/><Relationship Id="rId10" Type="http://schemas.openxmlformats.org/officeDocument/2006/relationships/hyperlink" Target="https://www.amazon.com/gp/product/B0DT4W1S32/ref=ox_sc_act_title_1?smid=AHALS71WJO58T&amp;th=1" TargetMode="External"/><Relationship Id="rId11" Type="http://schemas.openxmlformats.org/officeDocument/2006/relationships/hyperlink" Target="https://www.amazon.com/gp/product/B0D93F8BHJ/ref=ox_sc_act_image_12?smid=A3VN3QAHGNRFWG&amp;psc=1" TargetMode="External"/><Relationship Id="rId12" Type="http://schemas.openxmlformats.org/officeDocument/2006/relationships/hyperlink" Target="https://www.amazon.com/gp/product/B07GNDG2NC/ref=ox_sc_act_image_13?smid=A15GNHST7KG47K&amp;psc=1" TargetMode="External"/><Relationship Id="rId1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A2" activeCellId="0" sqref="A2"/>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11"/>
    <col collapsed="false" customWidth="true" hidden="false" outlineLevel="0" max="3" min="3" style="0" width="10"/>
    <col collapsed="false" customWidth="true" hidden="false" outlineLevel="0" max="4" min="4" style="0" width="32"/>
    <col collapsed="false" customWidth="true" hidden="false" outlineLevel="0" max="5" min="5" style="0" width="45"/>
    <col collapsed="false" customWidth="true" hidden="false" outlineLevel="0" max="6" min="6" style="0" width="38"/>
    <col collapsed="false" customWidth="true" hidden="false" outlineLevel="0" max="7" min="7" style="0" width="14"/>
    <col collapsed="false" customWidth="true" hidden="false" outlineLevel="0" max="8" min="8" style="0" width="65.57"/>
  </cols>
  <sheetData>
    <row r="1" customFormat="false" ht="17.35" hidden="false" customHeight="false" outlineLevel="0" collapsed="false">
      <c r="A1" s="1" t="s">
        <v>0</v>
      </c>
    </row>
    <row r="3" customFormat="false" ht="15" hidden="false" customHeight="false" outlineLevel="0" collapsed="false">
      <c r="A3" s="2" t="s">
        <v>1</v>
      </c>
      <c r="B3" s="2" t="s">
        <v>2</v>
      </c>
      <c r="C3" s="2" t="s">
        <v>3</v>
      </c>
      <c r="D3" s="2" t="s">
        <v>4</v>
      </c>
      <c r="E3" s="2" t="s">
        <v>5</v>
      </c>
      <c r="F3" s="2" t="s">
        <v>6</v>
      </c>
      <c r="G3" s="2" t="s">
        <v>7</v>
      </c>
    </row>
    <row r="4" customFormat="false" ht="55.2" hidden="false" customHeight="false" outlineLevel="0" collapsed="false">
      <c r="A4" s="3" t="s">
        <v>8</v>
      </c>
      <c r="B4" s="4" t="n">
        <v>21.99</v>
      </c>
      <c r="C4" s="3" t="n">
        <v>1</v>
      </c>
      <c r="D4" s="3" t="s">
        <v>9</v>
      </c>
      <c r="E4" s="3" t="s">
        <v>10</v>
      </c>
      <c r="F4" s="5" t="s">
        <v>11</v>
      </c>
      <c r="G4" s="4" t="n">
        <f aca="false">B4*C4</f>
        <v>21.99</v>
      </c>
    </row>
    <row r="5" customFormat="false" ht="41.75" hidden="false" customHeight="false" outlineLevel="0" collapsed="false">
      <c r="A5" s="3" t="s">
        <v>12</v>
      </c>
      <c r="B5" s="4" t="n">
        <v>13.99</v>
      </c>
      <c r="C5" s="3" t="n">
        <v>1</v>
      </c>
      <c r="D5" s="3" t="s">
        <v>13</v>
      </c>
      <c r="E5" s="3" t="s">
        <v>14</v>
      </c>
      <c r="F5" s="5" t="s">
        <v>15</v>
      </c>
      <c r="G5" s="4" t="n">
        <f aca="false">B5*C5</f>
        <v>13.99</v>
      </c>
    </row>
    <row r="6" customFormat="false" ht="41.75" hidden="false" customHeight="false" outlineLevel="0" collapsed="false">
      <c r="A6" s="3" t="s">
        <v>16</v>
      </c>
      <c r="B6" s="4" t="n">
        <v>9.99</v>
      </c>
      <c r="C6" s="3" t="n">
        <v>1</v>
      </c>
      <c r="D6" s="3" t="s">
        <v>17</v>
      </c>
      <c r="E6" s="3" t="s">
        <v>18</v>
      </c>
      <c r="F6" s="5" t="s">
        <v>19</v>
      </c>
      <c r="G6" s="4" t="n">
        <f aca="false">B6*C6</f>
        <v>9.99</v>
      </c>
    </row>
    <row r="7" customFormat="false" ht="41.75" hidden="false" customHeight="false" outlineLevel="0" collapsed="false">
      <c r="A7" s="3" t="s">
        <v>20</v>
      </c>
      <c r="B7" s="4" t="n">
        <v>99</v>
      </c>
      <c r="C7" s="3" t="n">
        <v>1</v>
      </c>
      <c r="D7" s="3" t="s">
        <v>21</v>
      </c>
      <c r="E7" s="3" t="s">
        <v>22</v>
      </c>
      <c r="F7" s="5" t="s">
        <v>23</v>
      </c>
      <c r="G7" s="4" t="n">
        <f aca="false">B7*C7</f>
        <v>99</v>
      </c>
    </row>
    <row r="8" customFormat="false" ht="41.75" hidden="false" customHeight="false" outlineLevel="0" collapsed="false">
      <c r="A8" s="3" t="s">
        <v>24</v>
      </c>
      <c r="B8" s="4" t="n">
        <v>14.99</v>
      </c>
      <c r="C8" s="3" t="n">
        <v>2</v>
      </c>
      <c r="D8" s="3" t="s">
        <v>25</v>
      </c>
      <c r="E8" s="3" t="s">
        <v>26</v>
      </c>
      <c r="F8" s="5" t="s">
        <v>27</v>
      </c>
      <c r="G8" s="4" t="n">
        <f aca="false">B8*C8</f>
        <v>29.98</v>
      </c>
    </row>
    <row r="9" customFormat="false" ht="28.35" hidden="false" customHeight="false" outlineLevel="0" collapsed="false">
      <c r="A9" s="3" t="s">
        <v>28</v>
      </c>
      <c r="B9" s="4" t="n">
        <v>15.89</v>
      </c>
      <c r="C9" s="3" t="n">
        <v>1</v>
      </c>
      <c r="D9" s="3" t="s">
        <v>29</v>
      </c>
      <c r="E9" s="3" t="s">
        <v>30</v>
      </c>
      <c r="F9" s="5" t="s">
        <v>31</v>
      </c>
      <c r="G9" s="4" t="n">
        <f aca="false">B9*C9</f>
        <v>15.89</v>
      </c>
    </row>
    <row r="10" customFormat="false" ht="28.35" hidden="false" customHeight="false" outlineLevel="0" collapsed="false">
      <c r="A10" s="3" t="s">
        <v>32</v>
      </c>
      <c r="B10" s="4" t="n">
        <v>7.99</v>
      </c>
      <c r="C10" s="3" t="n">
        <v>1</v>
      </c>
      <c r="D10" s="3" t="s">
        <v>33</v>
      </c>
      <c r="E10" s="3" t="s">
        <v>34</v>
      </c>
      <c r="F10" s="5" t="s">
        <v>35</v>
      </c>
      <c r="G10" s="4" t="n">
        <f aca="false">B10*C10</f>
        <v>7.99</v>
      </c>
    </row>
    <row r="11" customFormat="false" ht="28.35" hidden="false" customHeight="false" outlineLevel="0" collapsed="false">
      <c r="A11" s="3" t="s">
        <v>36</v>
      </c>
      <c r="B11" s="4" t="n">
        <v>19.98</v>
      </c>
      <c r="C11" s="3" t="n">
        <v>1</v>
      </c>
      <c r="D11" s="3" t="s">
        <v>37</v>
      </c>
      <c r="E11" s="3" t="s">
        <v>38</v>
      </c>
      <c r="F11" s="5" t="s">
        <v>39</v>
      </c>
      <c r="G11" s="4" t="n">
        <f aca="false">B11*C11</f>
        <v>19.98</v>
      </c>
    </row>
    <row r="12" customFormat="false" ht="28.35" hidden="false" customHeight="false" outlineLevel="0" collapsed="false">
      <c r="A12" s="3" t="s">
        <v>40</v>
      </c>
      <c r="B12" s="4" t="n">
        <v>4.59</v>
      </c>
      <c r="C12" s="3" t="n">
        <v>1</v>
      </c>
      <c r="D12" s="3" t="s">
        <v>41</v>
      </c>
      <c r="E12" s="3" t="s">
        <v>42</v>
      </c>
      <c r="F12" s="5" t="s">
        <v>43</v>
      </c>
      <c r="G12" s="4" t="n">
        <f aca="false">B12*C12</f>
        <v>4.59</v>
      </c>
    </row>
    <row r="13" customFormat="false" ht="41.75" hidden="false" customHeight="false" outlineLevel="0" collapsed="false">
      <c r="A13" s="3" t="s">
        <v>44</v>
      </c>
      <c r="B13" s="4" t="n">
        <v>290</v>
      </c>
      <c r="C13" s="3" t="n">
        <v>1</v>
      </c>
      <c r="D13" s="3" t="s">
        <v>45</v>
      </c>
      <c r="E13" s="3" t="s">
        <v>46</v>
      </c>
      <c r="F13" s="5" t="s">
        <v>47</v>
      </c>
      <c r="G13" s="4" t="n">
        <f aca="false">B13*C13</f>
        <v>290</v>
      </c>
    </row>
    <row r="14" customFormat="false" ht="28.35" hidden="false" customHeight="false" outlineLevel="0" collapsed="false">
      <c r="A14" s="3" t="s">
        <v>48</v>
      </c>
      <c r="B14" s="4" t="n">
        <v>9.49</v>
      </c>
      <c r="C14" s="3" t="n">
        <v>1</v>
      </c>
      <c r="D14" s="3" t="s">
        <v>49</v>
      </c>
      <c r="E14" s="3" t="s">
        <v>50</v>
      </c>
      <c r="F14" s="5" t="s">
        <v>51</v>
      </c>
      <c r="G14" s="4" t="n">
        <f aca="false">B14*C14</f>
        <v>9.49</v>
      </c>
    </row>
    <row r="15" customFormat="false" ht="28.35" hidden="false" customHeight="false" outlineLevel="0" collapsed="false">
      <c r="A15" s="3" t="s">
        <v>52</v>
      </c>
      <c r="B15" s="4" t="n">
        <v>23.88</v>
      </c>
      <c r="C15" s="3" t="n">
        <v>2</v>
      </c>
      <c r="D15" s="3" t="s">
        <v>53</v>
      </c>
      <c r="E15" s="3" t="s">
        <v>54</v>
      </c>
      <c r="F15" s="5" t="s">
        <v>55</v>
      </c>
      <c r="G15" s="4" t="n">
        <f aca="false">B15*C15</f>
        <v>47.76</v>
      </c>
    </row>
    <row r="16" customFormat="false" ht="15" hidden="false" customHeight="false" outlineLevel="0" collapsed="false">
      <c r="A16" s="6" t="s">
        <v>56</v>
      </c>
      <c r="B16" s="7"/>
      <c r="C16" s="8"/>
      <c r="D16" s="8"/>
      <c r="E16" s="8"/>
      <c r="F16" s="8"/>
      <c r="G16" s="9" t="n">
        <f aca="false">SUM(G4:G15)</f>
        <v>570.65</v>
      </c>
      <c r="H16" s="0" t="s">
        <v>57</v>
      </c>
    </row>
    <row r="17" customFormat="false" ht="15" hidden="false" customHeight="false" outlineLevel="0" collapsed="false">
      <c r="A17" s="6" t="s">
        <v>58</v>
      </c>
      <c r="B17" s="10"/>
      <c r="C17" s="11"/>
      <c r="D17" s="11"/>
      <c r="E17" s="11"/>
      <c r="F17" s="11"/>
      <c r="G17" s="9" t="n">
        <v>600</v>
      </c>
      <c r="H17" s="0" t="s">
        <v>59</v>
      </c>
    </row>
    <row r="18" customFormat="false" ht="15" hidden="false" customHeight="false" outlineLevel="0" collapsed="false">
      <c r="A18" s="12" t="s">
        <v>60</v>
      </c>
      <c r="B18" s="10"/>
      <c r="C18" s="11"/>
      <c r="D18" s="11"/>
      <c r="E18" s="11"/>
      <c r="F18" s="11"/>
      <c r="G18" s="13" t="n">
        <f aca="false">G16-G17</f>
        <v>-29.35</v>
      </c>
      <c r="H18" s="0" t="s">
        <v>61</v>
      </c>
    </row>
    <row r="19" customFormat="false" ht="15" hidden="false" customHeight="false" outlineLevel="0" collapsed="false">
      <c r="H19" s="0" t="s">
        <v>62</v>
      </c>
    </row>
    <row r="20" customFormat="false" ht="15" hidden="false" customHeight="false" outlineLevel="0" collapsed="false">
      <c r="A20" s="14" t="s">
        <v>63</v>
      </c>
    </row>
  </sheetData>
  <hyperlinks>
    <hyperlink ref="F4" r:id="rId1" display="https://www.amazon.com/gp/product/B0FR8VRWFJ/ref=ox_sc_act_title_1?smid=AJR9PS1P25UVO&amp;psc=1"/>
    <hyperlink ref="F5" r:id="rId2" display="Amazon search: Teyleten Robot TCS34725 Sensor Recognition Module RGB Sensor 3pcs"/>
    <hyperlink ref="F6" r:id="rId3" display="Amazon search: Teyleten Robot TB6612FNG Dual DC Stepper Motor Driver Module Pack of 3"/>
    <hyperlink ref="F7" r:id="rId4" display="Amazon search: Slamtec RPLIDAR A1M8 2D 360 Degree 12 Meters"/>
    <hyperlink ref="F8" r:id="rId5" display="https://www.amazon.com/dp/B07GNDG2NC"/>
    <hyperlink ref="F9" r:id="rId6" display="Amazon search: TUOFENG 22 AWG Wire Solid Core Hookup Wire 6 Colors"/>
    <hyperlink ref="F10" r:id="rId7" display="Amazon search: Dorhea 5 Pcs SG90 Micro Servo Motor Kit"/>
    <hyperlink ref="F11" r:id="rId8" display="Amazon search: Mspalocell 12V 3000mAh Rechargeable Li-ion Battery"/>
    <hyperlink ref="F12" r:id="rId9" display="Amazon search: Micro Limit Switch CYT1073 Long Hinge Lever 30 Pack"/>
    <hyperlink ref="F13" r:id="rId10" display="https://www.amazon.com/gp/product/B0DT4W1S32/ref=ox_sc_act_title_1?smid=AHALS71WJO58T&amp;th=1"/>
    <hyperlink ref="F14" r:id="rId11" display="Amazon search: YEJMKJ ESP32 S3 Development Board ESP32-S3-DevKitC-1-N8R8"/>
    <hyperlink ref="F15" r:id="rId12" display="Amazon search: BEMONOC Encoder Metal Gearmotor 12V 600RPM"/>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3" min="2" style="0" width="50"/>
    <col collapsed="false" customWidth="true" hidden="false" outlineLevel="0" max="4" min="4" style="0" width="34"/>
  </cols>
  <sheetData>
    <row r="1" customFormat="false" ht="17.35" hidden="false" customHeight="false" outlineLevel="0" collapsed="false">
      <c r="A1" s="1" t="s">
        <v>64</v>
      </c>
    </row>
    <row r="3" customFormat="false" ht="15" hidden="false" customHeight="false" outlineLevel="0" collapsed="false">
      <c r="A3" s="15" t="s">
        <v>65</v>
      </c>
      <c r="B3" s="15" t="s">
        <v>66</v>
      </c>
      <c r="C3" s="15" t="s">
        <v>67</v>
      </c>
      <c r="D3" s="15" t="s">
        <v>68</v>
      </c>
    </row>
    <row r="4" customFormat="false" ht="41.75" hidden="false" customHeight="false" outlineLevel="0" collapsed="false">
      <c r="A4" s="3" t="s">
        <v>69</v>
      </c>
      <c r="B4" s="3" t="s">
        <v>70</v>
      </c>
      <c r="C4" s="3" t="s">
        <v>71</v>
      </c>
      <c r="D4" s="3" t="s">
        <v>72</v>
      </c>
    </row>
    <row r="5" customFormat="false" ht="41.75" hidden="false" customHeight="false" outlineLevel="0" collapsed="false">
      <c r="A5" s="3" t="s">
        <v>73</v>
      </c>
      <c r="B5" s="3" t="s">
        <v>74</v>
      </c>
      <c r="C5" s="3" t="s">
        <v>75</v>
      </c>
      <c r="D5" s="3" t="s">
        <v>76</v>
      </c>
    </row>
    <row r="6" customFormat="false" ht="28.35" hidden="false" customHeight="false" outlineLevel="0" collapsed="false">
      <c r="A6" s="3" t="s">
        <v>77</v>
      </c>
      <c r="B6" s="3" t="s">
        <v>78</v>
      </c>
      <c r="C6" s="3" t="s">
        <v>79</v>
      </c>
      <c r="D6" s="3" t="s">
        <v>80</v>
      </c>
    </row>
    <row r="7" customFormat="false" ht="28.35" hidden="false" customHeight="false" outlineLevel="0" collapsed="false">
      <c r="A7" s="3" t="s">
        <v>81</v>
      </c>
      <c r="B7" s="3" t="s">
        <v>82</v>
      </c>
      <c r="C7" s="3" t="s">
        <v>83</v>
      </c>
      <c r="D7" s="3" t="s">
        <v>84</v>
      </c>
    </row>
    <row r="8" customFormat="false" ht="41.75" hidden="false" customHeight="false" outlineLevel="0" collapsed="false">
      <c r="A8" s="3" t="s">
        <v>85</v>
      </c>
      <c r="B8" s="3" t="s">
        <v>86</v>
      </c>
      <c r="C8" s="3" t="s">
        <v>87</v>
      </c>
      <c r="D8" s="3" t="s">
        <v>88</v>
      </c>
    </row>
    <row r="9" customFormat="false" ht="28.35" hidden="false" customHeight="false" outlineLevel="0" collapsed="false">
      <c r="A9" s="3" t="s">
        <v>89</v>
      </c>
      <c r="B9" s="3" t="s">
        <v>90</v>
      </c>
      <c r="C9" s="3" t="s">
        <v>91</v>
      </c>
      <c r="D9" s="3" t="s">
        <v>92</v>
      </c>
    </row>
    <row r="10" customFormat="false" ht="28.35" hidden="false" customHeight="false" outlineLevel="0" collapsed="false">
      <c r="A10" s="3" t="s">
        <v>93</v>
      </c>
      <c r="B10" s="3" t="s">
        <v>94</v>
      </c>
      <c r="C10" s="3" t="s">
        <v>95</v>
      </c>
      <c r="D10" s="3" t="s">
        <v>96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90"/>
  </cols>
  <sheetData>
    <row r="1" customFormat="false" ht="17.35" hidden="false" customHeight="false" outlineLevel="0" collapsed="false">
      <c r="A1" s="1" t="s">
        <v>97</v>
      </c>
    </row>
    <row r="3" customFormat="false" ht="15" hidden="false" customHeight="false" outlineLevel="0" collapsed="false">
      <c r="A3" s="16" t="s">
        <v>98</v>
      </c>
      <c r="B3" s="16" t="s">
        <v>5</v>
      </c>
    </row>
    <row r="4" customFormat="false" ht="15" hidden="false" customHeight="false" outlineLevel="0" collapsed="false">
      <c r="A4" s="3" t="s">
        <v>99</v>
      </c>
      <c r="B4" s="3" t="s">
        <v>100</v>
      </c>
    </row>
    <row r="5" customFormat="false" ht="15" hidden="false" customHeight="false" outlineLevel="0" collapsed="false">
      <c r="A5" s="3" t="s">
        <v>101</v>
      </c>
      <c r="B5" s="3" t="s">
        <v>102</v>
      </c>
    </row>
    <row r="6" customFormat="false" ht="15" hidden="false" customHeight="false" outlineLevel="0" collapsed="false">
      <c r="A6" s="3" t="s">
        <v>103</v>
      </c>
      <c r="B6" s="3" t="s">
        <v>104</v>
      </c>
    </row>
    <row r="7" customFormat="false" ht="15" hidden="false" customHeight="false" outlineLevel="0" collapsed="false">
      <c r="A7" s="3" t="s">
        <v>105</v>
      </c>
      <c r="B7" s="3" t="s">
        <v>106</v>
      </c>
    </row>
    <row r="8" customFormat="false" ht="15" hidden="false" customHeight="false" outlineLevel="0" collapsed="false">
      <c r="A8" s="3" t="s">
        <v>107</v>
      </c>
      <c r="B8" s="3" t="s">
        <v>108</v>
      </c>
    </row>
    <row r="9" customFormat="false" ht="28.35" hidden="false" customHeight="false" outlineLevel="0" collapsed="false">
      <c r="A9" s="3" t="s">
        <v>109</v>
      </c>
      <c r="B9" s="3" t="s">
        <v>110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2026-03-31T01:02:24Z</dcterms:created>
  <dc:creator>openpyxl</dc:creator>
  <dc:description/>
  <dc:language>en-US</dc:language>
  <cp:lastModifiedBy/>
  <dcterms:modified xsi:type="dcterms:W3CDTF">2026-04-01T15:39:17Z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